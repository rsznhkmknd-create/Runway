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93f467c8ad36e8c/"/>
    </mc:Choice>
  </mc:AlternateContent>
  <xr:revisionPtr revIDLastSave="0" documentId="8_{1BA8ED12-89D2-A341-9CD7-EEE1B47E733A}" xr6:coauthVersionLast="47" xr6:coauthVersionMax="47" xr10:uidLastSave="{00000000-0000-0000-0000-000000000000}"/>
  <bookViews>
    <workbookView xWindow="0" yWindow="660" windowWidth="29400" windowHeight="17460" xr2:uid="{96DD5DD3-57F3-9746-BD92-8CB090EE4D97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24" i="1" l="1" a="1"/>
  <c r="G24" i="1"/>
  <c r="G23" i="1" a="1"/>
  <c r="G23" i="1"/>
  <c r="G21" i="1" a="1"/>
  <c r="G21" i="1"/>
  <c r="G20" i="1" a="1"/>
  <c r="G20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<sst xmlns="http://schemas.openxmlformats.org/spreadsheetml/2006/main" count="159" uniqueCount="139">
  <si>
    <t>TIENDA "EL BUEN PRECIO" - CONTROL FINANCIERO 2024</t>
  </si>
  <si>
    <t>VENTAS / INGRESOS</t>
  </si>
  <si>
    <t>Fecha</t>
  </si>
  <si>
    <t>Concepto</t>
  </si>
  <si>
    <t>Monto</t>
  </si>
  <si>
    <t>Metodo pago</t>
  </si>
  <si>
    <t>Notas</t>
  </si>
  <si>
    <t>15/01/2024</t>
  </si>
  <si>
    <t>Ventas mostrador</t>
  </si>
  <si>
    <t>Efectivo</t>
  </si>
  <si>
    <t>22 de enero</t>
  </si>
  <si>
    <t>venta mayoreo</t>
  </si>
  <si>
    <t>transferencia</t>
  </si>
  <si>
    <t>cliente recurrente</t>
  </si>
  <si>
    <t>Tarjeta</t>
  </si>
  <si>
    <t>Promo San Valentin</t>
  </si>
  <si>
    <t>mixto</t>
  </si>
  <si>
    <t>50% efect, 50% tarjeta</t>
  </si>
  <si>
    <t>28/02/2024</t>
  </si>
  <si>
    <t>Devolucion cliente</t>
  </si>
  <si>
    <t>efectivo</t>
  </si>
  <si>
    <t>producto dañado</t>
  </si>
  <si>
    <t>marzo 5</t>
  </si>
  <si>
    <t>Ventas mostradro</t>
  </si>
  <si>
    <t>15/03/2024</t>
  </si>
  <si>
    <t>venta online</t>
  </si>
  <si>
    <t>mercadopago</t>
  </si>
  <si>
    <t>comision 5%</t>
  </si>
  <si>
    <t>20/03/24</t>
  </si>
  <si>
    <t>Mayoreo</t>
  </si>
  <si>
    <t>Transferencia</t>
  </si>
  <si>
    <t>facturado</t>
  </si>
  <si>
    <t>abril</t>
  </si>
  <si>
    <t>Ventas totales abril</t>
  </si>
  <si>
    <t>varios</t>
  </si>
  <si>
    <t>efctivo</t>
  </si>
  <si>
    <t>mayo 2024</t>
  </si>
  <si>
    <t>Online + tienda</t>
  </si>
  <si>
    <t>~18500</t>
  </si>
  <si>
    <t>APROXIMADO</t>
  </si>
  <si>
    <t>GASTOS</t>
  </si>
  <si>
    <t>Frecuencia</t>
  </si>
  <si>
    <t>Categoria</t>
  </si>
  <si>
    <t>Renta local</t>
  </si>
  <si>
    <t>mensual</t>
  </si>
  <si>
    <t>Fijo</t>
  </si>
  <si>
    <t>Luz (CFE)</t>
  </si>
  <si>
    <t>bimestral</t>
  </si>
  <si>
    <t>Servicios</t>
  </si>
  <si>
    <t>sube en verano</t>
  </si>
  <si>
    <t>Agua</t>
  </si>
  <si>
    <t>servicios</t>
  </si>
  <si>
    <t>Internet + tel</t>
  </si>
  <si>
    <t>Sueldo empleado 1</t>
  </si>
  <si>
    <t>quincenal</t>
  </si>
  <si>
    <t>Nomina</t>
  </si>
  <si>
    <t>medio tiempo</t>
  </si>
  <si>
    <t>Sueldo emp. 2</t>
  </si>
  <si>
    <t>nomina</t>
  </si>
  <si>
    <t>Sueldo yo (dueño)</t>
  </si>
  <si>
    <t>a veces no me pago</t>
  </si>
  <si>
    <t>Mercancia / inventario</t>
  </si>
  <si>
    <t>variable</t>
  </si>
  <si>
    <t>semanal</t>
  </si>
  <si>
    <t>Costo de venta</t>
  </si>
  <si>
    <t>Compra mercancia ene</t>
  </si>
  <si>
    <t>enero</t>
  </si>
  <si>
    <t>Costo venta</t>
  </si>
  <si>
    <t>Compra mercancia feb</t>
  </si>
  <si>
    <t>febrero</t>
  </si>
  <si>
    <t>Compra merc marzo</t>
  </si>
  <si>
    <t>marzo</t>
  </si>
  <si>
    <t>costo venta</t>
  </si>
  <si>
    <t>Publicidad FB</t>
  </si>
  <si>
    <t>Marketing</t>
  </si>
  <si>
    <t>Volantes impresos</t>
  </si>
  <si>
    <t>unica vez</t>
  </si>
  <si>
    <t>marketing</t>
  </si>
  <si>
    <t>Mantenimiento local</t>
  </si>
  <si>
    <t>cuando se necesite</t>
  </si>
  <si>
    <t>Mantenimiento</t>
  </si>
  <si>
    <t>se pinto en marzo</t>
  </si>
  <si>
    <t>Contador</t>
  </si>
  <si>
    <t>Profesional</t>
  </si>
  <si>
    <t>SAT (impuestos)</t>
  </si>
  <si>
    <t>pendiente</t>
  </si>
  <si>
    <t>Impuestos</t>
  </si>
  <si>
    <t>NO HEMOS PAGADO!!!</t>
  </si>
  <si>
    <t>DEUDAS / CUENTAS POR COBRAR</t>
  </si>
  <si>
    <t>Quien</t>
  </si>
  <si>
    <t>Debe</t>
  </si>
  <si>
    <t>Desde cuando</t>
  </si>
  <si>
    <t>Status</t>
  </si>
  <si>
    <t>Don Pepe (abarrotes)</t>
  </si>
  <si>
    <t>dice que paga en marzo</t>
  </si>
  <si>
    <t>Sra. Martinez</t>
  </si>
  <si>
    <t>feb</t>
  </si>
  <si>
    <t>ya pago 500, falta 700</t>
  </si>
  <si>
    <t>Pedido online #234</t>
  </si>
  <si>
    <t>marzo 12</t>
  </si>
  <si>
    <t>no ha recogido</t>
  </si>
  <si>
    <t>Mi cuñado Roberto</t>
  </si>
  <si>
    <t>diciembre 2023</t>
  </si>
  <si>
    <t>ni me pela</t>
  </si>
  <si>
    <t>INVENTARIO RAPIDO</t>
  </si>
  <si>
    <t>Producto</t>
  </si>
  <si>
    <t>Cantidad</t>
  </si>
  <si>
    <t>Precio unit</t>
  </si>
  <si>
    <t>Valor aprox</t>
  </si>
  <si>
    <t>Camisetas basicas</t>
  </si>
  <si>
    <t>Jeans</t>
  </si>
  <si>
    <t>como 9600</t>
  </si>
  <si>
    <t>Tenis varios</t>
  </si>
  <si>
    <t>45 pares</t>
  </si>
  <si>
    <t>Accesorios</t>
  </si>
  <si>
    <t>muchos</t>
  </si>
  <si>
    <t>ni idea</t>
  </si>
  <si>
    <t>Ropa interior</t>
  </si>
  <si>
    <t>TOTAL INVENTARIO:</t>
  </si>
  <si>
    <t>~37,100??</t>
  </si>
  <si>
    <t>"RESUMEN" (mas o menos)</t>
  </si>
  <si>
    <t>Total ventas ene-may:</t>
  </si>
  <si>
    <t>creo</t>
  </si>
  <si>
    <t>Total gastos fijos/mes:</t>
  </si>
  <si>
    <t>sin contar mercancia</t>
  </si>
  <si>
    <t>Ganancia??</t>
  </si>
  <si>
    <t>no se</t>
  </si>
  <si>
    <t>PENDIENTES:</t>
  </si>
  <si>
    <t>- Pagar impuestos SAT (3 meses)</t>
  </si>
  <si>
    <t>- Separar gastos personales!!</t>
  </si>
  <si>
    <t>PRESTAMOS</t>
  </si>
  <si>
    <t>Monto original</t>
  </si>
  <si>
    <t>Falta pagar</t>
  </si>
  <si>
    <t>Pago mensual</t>
  </si>
  <si>
    <t>Prestamo personal (banco)</t>
  </si>
  <si>
    <t>termina dic 2024</t>
  </si>
  <si>
    <t>Le debo a mi suegro</t>
  </si>
  <si>
    <t>cuando pueda</t>
  </si>
  <si>
    <t>sin interes (por ahora)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</si>
</sst>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2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rgb="FF999999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FFD700"/>
        <bgColor indexed="64"/>
      </patternFill>
    </fill>
    <fill>
      <patternFill patternType="solid">
        <fgColor rgb="FF90EE90"/>
        <bgColor indexed="64"/>
      </patternFill>
    </fill>
    <fill>
      <patternFill patternType="solid">
        <fgColor rgb="FF87CEEB"/>
        <bgColor indexed="64"/>
      </patternFill>
    </fill>
    <fill>
      <patternFill patternType="solid">
        <fgColor rgb="FFDDA0D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3" fillId="0" borderId="0" xfId="0" applyFont="1"/>
    <xf numFmtId="0" fontId="2" fillId="0" borderId="0" xfId="0" applyFont="1"/>
    <xf numFmtId="0" fontId="2" fillId="2" borderId="0" xfId="0" applyFont="1" applyFill="1"/>
    <xf numFmtId="3" fontId="0" fillId="0" borderId="0" xfId="0" applyNumberFormat="1"/>
    <xf numFmtId="14" fontId="0" fillId="0" borderId="0" xfId="0" applyNumberFormat="1"/>
    <xf numFmtId="16" fontId="0" fillId="0" borderId="0" xfId="0" applyNumberFormat="1"/>
    <xf numFmtId="0" fontId="2" fillId="3" borderId="0" xfId="0" applyFont="1" applyFill="1"/>
    <xf numFmtId="0" fontId="1" fillId="0" borderId="0" xfId="0" applyFont="1"/>
    <xf numFmtId="0" fontId="4" fillId="0" borderId="0" xfId="0" applyFont="1"/>
    <xf numFmtId="0" fontId="2" fillId="4" borderId="0" xfId="0" applyFont="1" applyFill="1"/>
    <xf numFmtId="0" fontId="5" fillId="5" borderId="0" xfId="0" applyFont="1" applyFill="1"/>
    <xf numFmtId="0" fontId="2" fillId="6" borderId="0" xfId="0" applyFont="1" applyFill="1"/>
    <xf numFmtId="0" fontId="6" fillId="0" borderId="0" xfId="0" applyFont="1"/>
    <xf numFmtId="0" fontId="5" fillId="7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18FF464-B3E0-7342-8D58-7F97F6F2C0EC}">
  <we:reference id="wa200009404" version="1.0.0.8" store="es-MX" storeType="OMEX"/>
  <we:alternateReferences>
    <we:reference id="WA200009404" version="1.0.0.8" store="" storeType="OMEX"/>
  </we:alternateReferences>
  <we:properties>
    <we:property name="claude.fileId" value="&quot;2ed54995-7fc7-4364-9fd2-53e6381115ed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F44D3-A378-724C-A453-5F6B91F9BBC2}">
  <dimension ref="A1:J46"/>
  <sheetViews>
    <sheetView tabSelected="1" workbookViewId="0"/>
  </sheetViews>
  <sheetFormatPr baseColWidth="10" defaultRowHeight="16" x14ac:dyDescent="0.2"/>
  <sheetData>
    <row r="1" spans="1:10" ht="19" x14ac:dyDescent="0.25">
      <c r="A1" s="1" t="s">
        <v>0</v>
      </c>
    </row>
    <row r="3" spans="1:10" x14ac:dyDescent="0.2">
      <c r="A3" s="3" t="s">
        <v>1</v>
      </c>
      <c r="G3" s="11" t="s">
        <v>104</v>
      </c>
    </row>
    <row r="4" spans="1:10" x14ac:dyDescent="0.2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G4" s="2" t="s">
        <v>105</v>
      </c>
      <c r="H4" s="2" t="s">
        <v>106</v>
      </c>
      <c r="I4" s="2" t="s">
        <v>107</v>
      </c>
      <c r="J4" s="2" t="s">
        <v>108</v>
      </c>
    </row>
    <row r="5" spans="1:10" x14ac:dyDescent="0.2">
      <c r="A5" t="s">
        <v>7</v>
      </c>
      <c r="B5" t="s">
        <v>8</v>
      </c>
      <c r="C5">
        <v>4500</v>
      </c>
      <c r="D5" t="s">
        <v>9</v>
      </c>
      <c r="G5" t="s">
        <v>109</v>
      </c>
      <c r="H5">
        <v>150</v>
      </c>
      <c r="I5">
        <v>45</v>
      </c>
      <c r="J5">
        <v>6750</v>
      </c>
    </row>
    <row r="6" spans="1:10" x14ac:dyDescent="0.2">
      <c r="A6" t="s">
        <v>10</v>
      </c>
      <c r="B6" t="s">
        <v>11</v>
      </c>
      <c r="C6" s="4">
        <v>12300</v>
      </c>
      <c r="D6" t="s">
        <v>12</v>
      </c>
      <c r="E6" t="s">
        <v>13</v>
      </c>
      <c r="G6" t="s">
        <v>110</v>
      </c>
      <c r="H6">
        <v>80</v>
      </c>
      <c r="I6">
        <v>120</v>
      </c>
      <c r="J6" t="s">
        <v>111</v>
      </c>
    </row>
    <row r="7" spans="1:10" x14ac:dyDescent="0.2">
      <c r="A7" s="5">
        <v>45353</v>
      </c>
      <c r="B7" t="s">
        <v>8</v>
      </c>
      <c r="C7">
        <v>3800</v>
      </c>
      <c r="D7" t="s">
        <v>14</v>
      </c>
      <c r="G7" t="s">
        <v>112</v>
      </c>
      <c r="H7" t="s">
        <v>113</v>
      </c>
      <c r="I7">
        <v>350</v>
      </c>
      <c r="J7">
        <v>15750</v>
      </c>
    </row>
    <row r="8" spans="1:10" x14ac:dyDescent="0.2">
      <c r="A8" s="6">
        <v>46067</v>
      </c>
      <c r="B8" t="s">
        <v>15</v>
      </c>
      <c r="C8">
        <v>8900</v>
      </c>
      <c r="D8" t="s">
        <v>16</v>
      </c>
      <c r="E8" t="s">
        <v>17</v>
      </c>
      <c r="G8" t="s">
        <v>114</v>
      </c>
      <c r="H8" t="s">
        <v>115</v>
      </c>
      <c r="I8" t="s">
        <v>34</v>
      </c>
      <c r="J8" t="s">
        <v>116</v>
      </c>
    </row>
    <row r="9" spans="1:10" x14ac:dyDescent="0.2">
      <c r="A9" t="s">
        <v>18</v>
      </c>
      <c r="B9" t="s">
        <v>19</v>
      </c>
      <c r="C9">
        <v>-750</v>
      </c>
      <c r="D9" t="s">
        <v>20</v>
      </c>
      <c r="E9" t="s">
        <v>21</v>
      </c>
      <c r="G9" t="s">
        <v>117</v>
      </c>
      <c r="H9">
        <v>200</v>
      </c>
      <c r="I9">
        <v>25</v>
      </c>
      <c r="J9">
        <v>5000</v>
      </c>
    </row>
    <row r="10" spans="1:10" x14ac:dyDescent="0.2">
      <c r="A10" t="s">
        <v>22</v>
      </c>
      <c r="B10" t="s">
        <v>23</v>
      </c>
      <c r="C10">
        <v>5200</v>
      </c>
      <c r="D10" t="s">
        <v>9</v>
      </c>
      <c r="G10" t="s">
        <v>118</v>
      </c>
      <c r="J10" s="2" t="s">
        <v>119</v>
      </c>
    </row>
    <row r="11" spans="1:10" x14ac:dyDescent="0.2">
      <c r="A11" t="s">
        <v>24</v>
      </c>
      <c r="B11" t="s">
        <v>25</v>
      </c>
      <c r="C11">
        <v>2100</v>
      </c>
      <c r="D11" t="s">
        <v>26</v>
      </c>
      <c r="E11" t="s">
        <v>27</v>
      </c>
    </row>
    <row r="12" spans="1:10" x14ac:dyDescent="0.2">
      <c r="A12" t="s">
        <v>28</v>
      </c>
      <c r="B12" t="s">
        <v>29</v>
      </c>
      <c r="C12">
        <v>15000</v>
      </c>
      <c r="D12" t="s">
        <v>30</v>
      </c>
      <c r="E12" t="s">
        <v>31</v>
      </c>
    </row>
    <row r="13" spans="1:10" x14ac:dyDescent="0.2">
      <c r="A13" t="s">
        <v>32</v>
      </c>
      <c r="B13" t="s">
        <v>33</v>
      </c>
      <c r="C13">
        <v>22000</v>
      </c>
      <c r="D13" t="s">
        <v>34</v>
      </c>
      <c r="G13" s="12" t="s">
        <v>120</v>
      </c>
    </row>
    <row r="14" spans="1:10" x14ac:dyDescent="0.2">
      <c r="A14" s="5">
        <v>45296</v>
      </c>
      <c r="B14" t="s">
        <v>8</v>
      </c>
      <c r="C14">
        <v>6100</v>
      </c>
      <c r="D14" t="s">
        <v>35</v>
      </c>
      <c r="G14" t="s">
        <v>121</v>
      </c>
      <c r="H14" s="2">
        <v>98650</v>
      </c>
      <c r="I14" t="s">
        <v>122</v>
      </c>
    </row>
    <row r="15" spans="1:10" x14ac:dyDescent="0.2">
      <c r="A15" t="s">
        <v>36</v>
      </c>
      <c r="B15" t="s">
        <v>37</v>
      </c>
      <c r="C15" t="s">
        <v>38</v>
      </c>
      <c r="D15" t="s">
        <v>16</v>
      </c>
      <c r="E15" t="s">
        <v>39</v>
      </c>
      <c r="G15" t="s">
        <v>123</v>
      </c>
      <c r="H15" s="2">
        <v>45949</v>
      </c>
      <c r="I15" t="s">
        <v>124</v>
      </c>
    </row>
    <row r="16" spans="1:10" x14ac:dyDescent="0.2">
      <c r="G16" t="s">
        <v>125</v>
      </c>
      <c r="H16" s="9" t="s">
        <v>126</v>
      </c>
    </row>
    <row r="17" spans="1:7" x14ac:dyDescent="0.2">
      <c r="A17" s="7" t="s">
        <v>40</v>
      </c>
    </row>
    <row r="18" spans="1:7" x14ac:dyDescent="0.2">
      <c r="A18" s="2" t="s">
        <v>3</v>
      </c>
      <c r="B18" s="2" t="s">
        <v>4</v>
      </c>
      <c r="C18" s="2" t="s">
        <v>41</v>
      </c>
      <c r="D18" s="2" t="s">
        <v>42</v>
      </c>
      <c r="E18" s="2" t="s">
        <v>6</v>
      </c>
      <c r="G18" s="9" t="s">
        <v>127</v>
      </c>
    </row>
    <row r="19" spans="1:7" x14ac:dyDescent="0.2">
      <c r="A19" t="s">
        <v>43</v>
      </c>
      <c r="B19">
        <v>8500</v>
      </c>
      <c r="C19" t="s">
        <v>44</v>
      </c>
      <c r="D19" t="s">
        <v>45</v>
      </c>
      <c r="G19" t="s">
        <v>128</v>
      </c>
    </row>
    <row r="20" spans="1:7" x14ac:dyDescent="0.2">
      <c r="A20" t="s">
        <v>46</v>
      </c>
      <c r="B20">
        <v>2300</v>
      </c>
      <c r="C20" t="s">
        <v>47</v>
      </c>
      <c r="D20" t="s">
        <v>48</v>
      </c>
      <c r="E20" t="s">
        <v>49</v>
      </c>
      <c r="G20" t="e" cm="1">
        <f t="array" ref="G20">- Cobrarle a Roberto</f>
        <v>#NAME?</v>
      </c>
    </row>
    <row r="21" spans="1:7" x14ac:dyDescent="0.2">
      <c r="A21" t="s">
        <v>50</v>
      </c>
      <c r="B21">
        <v>450</v>
      </c>
      <c r="C21" t="s">
        <v>44</v>
      </c>
      <c r="D21" t="s">
        <v>51</v>
      </c>
      <c r="G21" t="e" cm="1">
        <f t="array" ref="G21">- Revisar si conviene MercadoPago</f>
        <v>#NAME?</v>
      </c>
    </row>
    <row r="22" spans="1:7" x14ac:dyDescent="0.2">
      <c r="A22" t="s">
        <v>52</v>
      </c>
      <c r="B22">
        <v>699</v>
      </c>
      <c r="C22" t="s">
        <v>44</v>
      </c>
      <c r="D22" t="s">
        <v>48</v>
      </c>
      <c r="G22" t="s">
        <v>129</v>
      </c>
    </row>
    <row r="23" spans="1:7" x14ac:dyDescent="0.2">
      <c r="A23" t="s">
        <v>53</v>
      </c>
      <c r="B23">
        <v>7000</v>
      </c>
      <c r="C23" t="s">
        <v>54</v>
      </c>
      <c r="D23" t="s">
        <v>55</v>
      </c>
      <c r="E23" t="s">
        <v>56</v>
      </c>
      <c r="G23" t="e" cm="1">
        <f t="array" ref="G23">- Checar margen por producto</f>
        <v>#NAME?</v>
      </c>
    </row>
    <row r="24" spans="1:7" x14ac:dyDescent="0.2">
      <c r="A24" t="s">
        <v>57</v>
      </c>
      <c r="B24">
        <v>12000</v>
      </c>
      <c r="C24" t="s">
        <v>44</v>
      </c>
      <c r="D24" t="s">
        <v>58</v>
      </c>
      <c r="G24" s="13" t="e" cm="1">
        <f t="array" ref="G24">- El AC ya no enfria bien</f>
        <v>#NAME?</v>
      </c>
    </row>
    <row r="25" spans="1:7" x14ac:dyDescent="0.2">
      <c r="A25" t="s">
        <v>59</v>
      </c>
      <c r="B25">
        <v>15000</v>
      </c>
      <c r="C25" t="s">
        <v>44</v>
      </c>
      <c r="D25" t="s">
        <v>55</v>
      </c>
      <c r="E25" t="s">
        <v>60</v>
      </c>
    </row>
    <row r="26" spans="1:7" x14ac:dyDescent="0.2">
      <c r="A26" t="s">
        <v>61</v>
      </c>
      <c r="B26" t="s">
        <v>62</v>
      </c>
      <c r="C26" t="s">
        <v>63</v>
      </c>
      <c r="D26" t="s">
        <v>64</v>
      </c>
    </row>
    <row r="27" spans="1:7" x14ac:dyDescent="0.2">
      <c r="A27" t="s">
        <v>65</v>
      </c>
      <c r="B27">
        <v>18000</v>
      </c>
      <c r="C27" t="s">
        <v>66</v>
      </c>
      <c r="D27" t="s">
        <v>67</v>
      </c>
    </row>
    <row r="28" spans="1:7" x14ac:dyDescent="0.2">
      <c r="A28" t="s">
        <v>68</v>
      </c>
      <c r="B28">
        <v>12500</v>
      </c>
      <c r="C28" t="s">
        <v>69</v>
      </c>
    </row>
    <row r="29" spans="1:7" x14ac:dyDescent="0.2">
      <c r="A29" t="s">
        <v>70</v>
      </c>
      <c r="B29">
        <v>22000</v>
      </c>
      <c r="C29" t="s">
        <v>71</v>
      </c>
      <c r="D29" t="s">
        <v>72</v>
      </c>
    </row>
    <row r="30" spans="1:7" x14ac:dyDescent="0.2">
      <c r="A30" t="s">
        <v>73</v>
      </c>
      <c r="B30">
        <v>500</v>
      </c>
      <c r="C30" t="s">
        <v>44</v>
      </c>
      <c r="D30" t="s">
        <v>74</v>
      </c>
    </row>
    <row r="31" spans="1:7" x14ac:dyDescent="0.2">
      <c r="A31" t="s">
        <v>75</v>
      </c>
      <c r="B31">
        <v>800</v>
      </c>
      <c r="C31" t="s">
        <v>76</v>
      </c>
      <c r="D31" t="s">
        <v>77</v>
      </c>
    </row>
    <row r="32" spans="1:7" x14ac:dyDescent="0.2">
      <c r="A32" t="s">
        <v>78</v>
      </c>
      <c r="B32">
        <v>3500</v>
      </c>
      <c r="C32" t="s">
        <v>79</v>
      </c>
      <c r="D32" t="s">
        <v>80</v>
      </c>
      <c r="E32" t="s">
        <v>81</v>
      </c>
    </row>
    <row r="33" spans="1:5" x14ac:dyDescent="0.2">
      <c r="A33" t="s">
        <v>82</v>
      </c>
      <c r="B33">
        <v>2000</v>
      </c>
      <c r="C33" t="s">
        <v>44</v>
      </c>
      <c r="D33" t="s">
        <v>83</v>
      </c>
    </row>
    <row r="34" spans="1:5" x14ac:dyDescent="0.2">
      <c r="A34" t="s">
        <v>84</v>
      </c>
      <c r="B34" t="s">
        <v>85</v>
      </c>
      <c r="C34" t="s">
        <v>47</v>
      </c>
      <c r="D34" t="s">
        <v>86</v>
      </c>
      <c r="E34" s="9" t="s">
        <v>87</v>
      </c>
    </row>
    <row r="36" spans="1:5" x14ac:dyDescent="0.2">
      <c r="A36" s="10" t="s">
        <v>88</v>
      </c>
    </row>
    <row r="37" spans="1:5" x14ac:dyDescent="0.2">
      <c r="A37" s="2" t="s">
        <v>89</v>
      </c>
      <c r="B37" s="2" t="s">
        <v>90</v>
      </c>
      <c r="C37" s="2" t="s">
        <v>91</v>
      </c>
      <c r="D37" s="2" t="s">
        <v>92</v>
      </c>
    </row>
    <row r="38" spans="1:5" x14ac:dyDescent="0.2">
      <c r="A38" t="s">
        <v>93</v>
      </c>
      <c r="B38">
        <v>3500</v>
      </c>
      <c r="C38" t="s">
        <v>66</v>
      </c>
      <c r="D38" t="s">
        <v>94</v>
      </c>
    </row>
    <row r="39" spans="1:5" x14ac:dyDescent="0.2">
      <c r="A39" t="s">
        <v>95</v>
      </c>
      <c r="B39">
        <v>1200</v>
      </c>
      <c r="C39" t="s">
        <v>96</v>
      </c>
      <c r="D39" t="s">
        <v>97</v>
      </c>
    </row>
    <row r="40" spans="1:5" x14ac:dyDescent="0.2">
      <c r="A40" t="s">
        <v>98</v>
      </c>
      <c r="B40">
        <v>890</v>
      </c>
      <c r="C40" t="s">
        <v>99</v>
      </c>
      <c r="D40" t="s">
        <v>100</v>
      </c>
    </row>
    <row r="41" spans="1:5" x14ac:dyDescent="0.2">
      <c r="A41" t="s">
        <v>101</v>
      </c>
      <c r="B41">
        <v>5000</v>
      </c>
      <c r="C41" t="s">
        <v>102</v>
      </c>
      <c r="D41" s="8" t="s">
        <v>103</v>
      </c>
    </row>
    <row r="43" spans="1:5" x14ac:dyDescent="0.2">
      <c r="A43" s="14" t="s">
        <v>130</v>
      </c>
    </row>
    <row r="44" spans="1:5" x14ac:dyDescent="0.2">
      <c r="A44" s="2" t="s">
        <v>3</v>
      </c>
      <c r="B44" s="2" t="s">
        <v>131</v>
      </c>
      <c r="C44" s="2" t="s">
        <v>132</v>
      </c>
      <c r="D44" s="2" t="s">
        <v>133</v>
      </c>
      <c r="E44" s="2" t="s">
        <v>6</v>
      </c>
    </row>
    <row r="45" spans="1:5" x14ac:dyDescent="0.2">
      <c r="A45" t="s">
        <v>134</v>
      </c>
      <c r="B45">
        <v>50000</v>
      </c>
      <c r="C45">
        <v>32000</v>
      </c>
      <c r="D45">
        <v>4200</v>
      </c>
      <c r="E45" t="s">
        <v>135</v>
      </c>
    </row>
    <row r="46" spans="1:5" x14ac:dyDescent="0.2">
      <c r="A46" t="s">
        <v>136</v>
      </c>
      <c r="B46">
        <v>20000</v>
      </c>
      <c r="C46">
        <v>20000</v>
      </c>
      <c r="D46" t="s">
        <v>137</v>
      </c>
      <c r="E46" s="8" t="s">
        <v>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SILVANA REGINATO</dc:creator>
  <cp:lastModifiedBy>SILVANA REGINATO</cp:lastModifiedBy>
  <dcterms:created xsi:type="dcterms:W3CDTF">2026-04-24T23:39:04Z</dcterms:created>
  <dcterms:modified xsi:type="dcterms:W3CDTF">2026-04-24T23:46:57Z</dcterms:modified>
</cp:coreProperties>
</file>